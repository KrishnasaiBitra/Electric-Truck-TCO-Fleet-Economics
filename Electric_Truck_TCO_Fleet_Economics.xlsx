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Unit Economics" sheetId="3" state="visible" r:id="rId3"/>
    <sheet xmlns:r="http://schemas.openxmlformats.org/officeDocument/2006/relationships" name="Fleet Scenarios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0.0%"/>
    <numFmt numFmtId="166" formatCode="₹#,##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4" borderId="0" pivotButton="0" quotePrefix="0" xfId="0"/>
    <xf numFmtId="0" fontId="2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OPEX: Diesel vs Electric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'Fleet Scenarios'!D1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'Fleet Scenarios'!$A$2:$A$4</f>
            </numRef>
          </cat>
          <val>
            <numRef>
              <f>'Fleet Scenarios'!$D$2:$D$4</f>
            </numRef>
          </val>
        </ser>
        <ser>
          <idx val="1"/>
          <order val="1"/>
          <tx>
            <strRef>
              <f>'Fleet Scenarios'!E1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'Fleet Scenarios'!$A$2:$A$4</f>
            </numRef>
          </cat>
          <val>
            <numRef>
              <f>'Fleet Scenarios'!$E$2:$E$4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Fleet size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1" t="inlineStr">
        <is>
          <t>Electric Truck TCO &amp; Fleet Economics Analysis</t>
        </is>
      </c>
      <c r="B1" s="2" t="n"/>
    </row>
    <row r="2">
      <c r="A2" s="3" t="inlineStr">
        <is>
          <t>Purpose</t>
        </is>
      </c>
      <c r="B2" s="3" t="inlineStr">
        <is>
          <t>Illustrative business-case model comparing diesel and battery-electric heavy freight trucks.</t>
        </is>
      </c>
    </row>
    <row r="3">
      <c r="A3" s="3" t="inlineStr">
        <is>
          <t>Important</t>
        </is>
      </c>
      <c r="B3" s="3" t="inlineStr">
        <is>
          <t>This is an analytical portfolio project, not a commercial quote or investment recommendation.</t>
        </is>
      </c>
    </row>
    <row r="4">
      <c r="A4" s="3" t="inlineStr">
        <is>
          <t>How to use</t>
        </is>
      </c>
      <c r="B4" s="3" t="inlineStr">
        <is>
          <t>Change yellow cells on the Inputs sheet; all calculations update in Excel.</t>
        </is>
      </c>
    </row>
    <row r="5">
      <c r="A5" s="3" t="inlineStr">
        <is>
          <t>Scope</t>
        </is>
      </c>
      <c r="B5" s="3" t="inlineStr">
        <is>
          <t>5-year TCO, ₹/km, ₹/ton-km, annual savings, simple payback, ROI proxy, and fleet scenarios for 10/100/1,000 trucks.</t>
        </is>
      </c>
    </row>
    <row r="6">
      <c r="A6" s="3" t="inlineStr">
        <is>
          <t>Key limitation</t>
        </is>
      </c>
      <c r="B6" s="3" t="inlineStr">
        <is>
          <t>EV purchase price, maintenance, payload, utilization and other operating assumptions are scenario inputs and must be validated for a real fleet.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6" customWidth="1" min="3" max="3"/>
    <col width="85" customWidth="1" min="4" max="4"/>
  </cols>
  <sheetData>
    <row r="1">
      <c r="A1" s="4" t="inlineStr">
        <is>
          <t>Input</t>
        </is>
      </c>
      <c r="B1" s="4" t="inlineStr">
        <is>
          <t>Value</t>
        </is>
      </c>
      <c r="C1" s="4" t="inlineStr">
        <is>
          <t>Unit</t>
        </is>
      </c>
      <c r="D1" s="4" t="inlineStr">
        <is>
          <t>Type / Source note</t>
        </is>
      </c>
    </row>
    <row r="2">
      <c r="A2" t="inlineStr">
        <is>
          <t>Analysis date</t>
        </is>
      </c>
      <c r="B2" s="5" t="inlineStr">
        <is>
          <t>2026-10-04</t>
        </is>
      </c>
      <c r="C2" t="inlineStr"/>
      <c r="D2" s="3" t="inlineStr">
        <is>
          <t>Scenario / project input.</t>
        </is>
      </c>
    </row>
    <row r="3">
      <c r="A3" t="inlineStr">
        <is>
          <t>Annual distance per truck (km)</t>
        </is>
      </c>
      <c r="B3" s="5" t="n">
        <v>80000</v>
      </c>
      <c r="C3" t="inlineStr">
        <is>
          <t>km/year</t>
        </is>
      </c>
      <c r="D3" s="3" t="inlineStr">
        <is>
          <t>Scenario / project input.</t>
        </is>
      </c>
    </row>
    <row r="4">
      <c r="A4" t="inlineStr">
        <is>
          <t>Analysis period (years)</t>
        </is>
      </c>
      <c r="B4" s="5" t="n">
        <v>5</v>
      </c>
      <c r="C4" t="inlineStr">
        <is>
          <t>years</t>
        </is>
      </c>
      <c r="D4" s="3" t="inlineStr">
        <is>
          <t>Scenario / project input.</t>
        </is>
      </c>
    </row>
    <row r="5">
      <c r="A5" t="inlineStr">
        <is>
          <t>Diesel price (₹/L)</t>
        </is>
      </c>
      <c r="B5" s="5" t="n">
        <v>105.61</v>
      </c>
      <c r="C5" t="inlineStr">
        <is>
          <t>₹/L</t>
        </is>
      </c>
      <c r="D5" s="3" t="inlineStr">
        <is>
          <t>Market reference: Vijayawada diesel price reported 3 Oct 2026; verify current rate before use.</t>
        </is>
      </c>
    </row>
    <row r="6">
      <c r="A6" t="inlineStr">
        <is>
          <t>Diesel efficiency (km/L)</t>
        </is>
      </c>
      <c r="B6" s="5" t="n">
        <v>2.75</v>
      </c>
      <c r="C6" t="inlineStr">
        <is>
          <t>km/L</t>
        </is>
      </c>
      <c r="D6" s="3" t="inlineStr">
        <is>
          <t>Scenario input: midpoint of 2.25–3.25 km/L range reported for Tata Prima 5530.S by TrucksBuses.</t>
        </is>
      </c>
    </row>
    <row r="7">
      <c r="A7" t="inlineStr">
        <is>
          <t>EV grid energy price (₹/kWh)</t>
        </is>
      </c>
      <c r="B7" s="5" t="n">
        <v>8.27</v>
      </c>
      <c r="C7" t="inlineStr">
        <is>
          <t>₹/kWh</t>
        </is>
      </c>
      <c r="D7" s="3" t="inlineStr">
        <is>
          <t>Reference value from APERC tariff material; actual charging tariff/demand charges depend on connection and charging setup.</t>
        </is>
      </c>
    </row>
    <row r="8">
      <c r="A8" t="inlineStr">
        <is>
          <t>EV battery nominal capacity (kWh)</t>
        </is>
      </c>
      <c r="B8" s="5" t="n">
        <v>450</v>
      </c>
      <c r="C8" t="inlineStr">
        <is>
          <t>kWh</t>
        </is>
      </c>
      <c r="D8" s="3" t="inlineStr">
        <is>
          <t>Tata Prima E.55S published 450 kWh option.</t>
        </is>
      </c>
    </row>
    <row r="9">
      <c r="A9" t="inlineStr">
        <is>
          <t>EV advertised range (km)</t>
        </is>
      </c>
      <c r="B9" s="5" t="n">
        <v>350</v>
      </c>
      <c r="C9" t="inlineStr">
        <is>
          <t>km</t>
        </is>
      </c>
      <c r="D9" s="3" t="inlineStr">
        <is>
          <t>Tata Prima E.55S published range up to 350 km; real-world duty cycle may differ.</t>
        </is>
      </c>
    </row>
    <row r="10">
      <c r="A10" t="inlineStr">
        <is>
          <t>Charging loss / overhead (%)</t>
        </is>
      </c>
      <c r="B10" s="5" t="n">
        <v>15</v>
      </c>
      <c r="C10" t="inlineStr">
        <is>
          <t>%</t>
        </is>
      </c>
      <c r="D10" s="3" t="inlineStr">
        <is>
          <t>Scenario assumption; replace with measured charger-to-battery/vehicle data.</t>
        </is>
      </c>
    </row>
    <row r="11">
      <c r="A11" t="inlineStr">
        <is>
          <t>Diesel truck acquisition cost (₹)</t>
        </is>
      </c>
      <c r="B11" s="5" t="n">
        <v>4049000</v>
      </c>
      <c r="C11" t="inlineStr">
        <is>
          <t>₹</t>
        </is>
      </c>
      <c r="D11" s="3" t="inlineStr">
        <is>
          <t>Indicative ex-showroom market listing for Tata Prima 5530.S; validate with OEM/dealer.</t>
        </is>
      </c>
    </row>
    <row r="12">
      <c r="A12" t="inlineStr">
        <is>
          <t>EV truck acquisition cost (₹)</t>
        </is>
      </c>
      <c r="B12" s="5" t="n">
        <v>6500000</v>
      </c>
      <c r="C12" t="inlineStr">
        <is>
          <t>₹</t>
        </is>
      </c>
      <c r="D12" s="3" t="inlineStr">
        <is>
          <t>Illustrative scenario assumption because public list price was not found in the reviewed source set.</t>
        </is>
      </c>
    </row>
    <row r="13">
      <c r="A13" t="inlineStr">
        <is>
          <t>Diesel maintenance (₹/km)</t>
        </is>
      </c>
      <c r="B13" s="5" t="n">
        <v>10</v>
      </c>
      <c r="C13" t="inlineStr">
        <is>
          <t>₹/km</t>
        </is>
      </c>
      <c r="D13" s="3" t="inlineStr">
        <is>
          <t>Illustrative scenario assumption; replace with fleet maintenance records.</t>
        </is>
      </c>
    </row>
    <row r="14">
      <c r="A14" t="inlineStr">
        <is>
          <t>EV maintenance (₹/km)</t>
        </is>
      </c>
      <c r="B14" s="5" t="n">
        <v>6</v>
      </c>
      <c r="C14" t="inlineStr">
        <is>
          <t>₹/km</t>
        </is>
      </c>
      <c r="D14" s="3" t="inlineStr">
        <is>
          <t>Illustrative scenario assumption; replace with fleet/OEM data.</t>
        </is>
      </c>
    </row>
    <row r="15">
      <c r="A15" t="inlineStr">
        <is>
          <t>Diesel other OPEX (₹/km)</t>
        </is>
      </c>
      <c r="B15" s="5" t="n">
        <v>2</v>
      </c>
      <c r="C15" t="inlineStr">
        <is>
          <t>₹/km</t>
        </is>
      </c>
      <c r="D15" s="3" t="inlineStr">
        <is>
          <t>Illustrative scenario assumption.</t>
        </is>
      </c>
    </row>
    <row r="16">
      <c r="A16" t="inlineStr">
        <is>
          <t>EV other OPEX (₹/km)</t>
        </is>
      </c>
      <c r="B16" s="5" t="n">
        <v>2</v>
      </c>
      <c r="C16" t="inlineStr">
        <is>
          <t>₹/km</t>
        </is>
      </c>
      <c r="D16" s="3" t="inlineStr">
        <is>
          <t>Illustrative scenario assumption.</t>
        </is>
      </c>
    </row>
    <row r="17">
      <c r="A17" t="inlineStr">
        <is>
          <t>Payload (tonnes)</t>
        </is>
      </c>
      <c r="B17" s="5" t="n">
        <v>25</v>
      </c>
      <c r="C17" t="inlineStr">
        <is>
          <t>tonnes</t>
        </is>
      </c>
      <c r="D17" s="3" t="inlineStr">
        <is>
          <t>Illustrative usable payload assumption; actual legal payload depends on configuration and route.</t>
        </is>
      </c>
    </row>
    <row r="18">
      <c r="A18" t="inlineStr">
        <is>
          <t>Charging infrastructure CAPEX per EV truck (₹)</t>
        </is>
      </c>
      <c r="B18" s="5" t="n">
        <v>500000</v>
      </c>
      <c r="C18" t="inlineStr">
        <is>
          <t>₹</t>
        </is>
      </c>
      <c r="D18" s="3" t="inlineStr">
        <is>
          <t>Illustrative scenario assumption.</t>
        </is>
      </c>
    </row>
    <row r="19">
      <c r="A19" t="inlineStr">
        <is>
          <t>Residual value (% of acquisition)</t>
        </is>
      </c>
      <c r="B19" s="5" t="n">
        <v>10</v>
      </c>
      <c r="C19" t="inlineStr">
        <is>
          <t>%</t>
        </is>
      </c>
      <c r="D19" s="3" t="inlineStr">
        <is>
          <t>Illustrative scenario assumption.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75" customWidth="1" min="4" max="4"/>
  </cols>
  <sheetData>
    <row r="1">
      <c r="A1" s="6" t="inlineStr">
        <is>
          <t>Metric</t>
        </is>
      </c>
      <c r="B1" s="6" t="inlineStr">
        <is>
          <t>Diesel</t>
        </is>
      </c>
      <c r="C1" s="6" t="inlineStr">
        <is>
          <t>Electric</t>
        </is>
      </c>
      <c r="D1" s="6" t="inlineStr">
        <is>
          <t>Formula / note</t>
        </is>
      </c>
    </row>
    <row r="2">
      <c r="A2" s="3" t="inlineStr">
        <is>
          <t>Energy/fuel cost per km</t>
        </is>
      </c>
      <c r="B2" s="3">
        <f>Inputs!B5/Inputs!B6</f>
        <v/>
      </c>
      <c r="C2" s="3">
        <f>Inputs!B7*(Inputs!B8/Inputs!B9)*(1+Inputs!B10/100)</f>
        <v/>
      </c>
      <c r="D2" s="3" t="inlineStr">
        <is>
          <t>Diesel: price/efficiency. EV: electricity × battery/range × charging overhead</t>
        </is>
      </c>
    </row>
    <row r="3">
      <c r="A3" s="3" t="inlineStr">
        <is>
          <t>Maintenance cost per km</t>
        </is>
      </c>
      <c r="B3" s="3">
        <f>Inputs!B13</f>
        <v/>
      </c>
      <c r="C3" s="3">
        <f>Inputs!B14</f>
        <v/>
      </c>
      <c r="D3" s="3" t="inlineStr">
        <is>
          <t>Input assumption</t>
        </is>
      </c>
    </row>
    <row r="4">
      <c r="A4" s="3" t="inlineStr">
        <is>
          <t>Other OPEX per km</t>
        </is>
      </c>
      <c r="B4" s="3">
        <f>Inputs!B15</f>
        <v/>
      </c>
      <c r="C4" s="3">
        <f>Inputs!B16</f>
        <v/>
      </c>
      <c r="D4" s="3" t="inlineStr">
        <is>
          <t>Input assumption</t>
        </is>
      </c>
    </row>
    <row r="5">
      <c r="A5" s="3" t="inlineStr">
        <is>
          <t>Total operating cost per km</t>
        </is>
      </c>
      <c r="B5" s="7">
        <f>SUM(B2:B4)</f>
        <v/>
      </c>
      <c r="C5" s="7">
        <f>SUM(C2:C4)</f>
        <v/>
      </c>
      <c r="D5" s="3" t="inlineStr">
        <is>
          <t>Energy + maintenance + other OPEX</t>
        </is>
      </c>
    </row>
    <row r="6">
      <c r="A6" s="3" t="inlineStr">
        <is>
          <t>₹/ton-km</t>
        </is>
      </c>
      <c r="B6" s="7">
        <f>B5/Inputs!B17</f>
        <v/>
      </c>
      <c r="C6" s="7">
        <f>C5/Inputs!B17</f>
        <v/>
      </c>
      <c r="D6" s="3" t="inlineStr">
        <is>
          <t>Operating cost per km ÷ payload</t>
        </is>
      </c>
    </row>
    <row r="7">
      <c r="A7" s="3" t="inlineStr">
        <is>
          <t>Annual distance (km)</t>
        </is>
      </c>
      <c r="B7" s="3">
        <f>Inputs!B3</f>
        <v/>
      </c>
      <c r="C7" s="3">
        <f>Inputs!B3</f>
        <v/>
      </c>
      <c r="D7" s="3" t="inlineStr">
        <is>
          <t>Input</t>
        </is>
      </c>
    </row>
    <row r="8">
      <c r="A8" s="3" t="inlineStr">
        <is>
          <t>Annual operating cost</t>
        </is>
      </c>
      <c r="B8" s="7">
        <f>B5*B7</f>
        <v/>
      </c>
      <c r="C8" s="7">
        <f>C5*C7</f>
        <v/>
      </c>
      <c r="D8" s="3" t="inlineStr">
        <is>
          <t>Operating cost/km × annual distance</t>
        </is>
      </c>
    </row>
    <row r="9">
      <c r="A9" s="3" t="inlineStr">
        <is>
          <t>Acquisition cost</t>
        </is>
      </c>
      <c r="B9" s="3">
        <f>Inputs!B11</f>
        <v/>
      </c>
      <c r="C9" s="3">
        <f>Inputs!B12</f>
        <v/>
      </c>
      <c r="D9" s="3" t="inlineStr">
        <is>
          <t>Truck purchase assumption</t>
        </is>
      </c>
    </row>
    <row r="10">
      <c r="A10" s="3" t="inlineStr">
        <is>
          <t>Charging infrastructure CAPEX</t>
        </is>
      </c>
      <c r="B10" s="3">
        <f>0</f>
        <v/>
      </c>
      <c r="C10" s="3">
        <f>Inputs!B18</f>
        <v/>
      </c>
      <c r="D10" s="3" t="inlineStr">
        <is>
          <t>Applied to EV</t>
        </is>
      </c>
    </row>
    <row r="11">
      <c r="A11" s="3" t="inlineStr">
        <is>
          <t>Initial investment</t>
        </is>
      </c>
      <c r="B11" s="7">
        <f>B9+B10</f>
        <v/>
      </c>
      <c r="C11" s="7">
        <f>C9+C10</f>
        <v/>
      </c>
      <c r="D11" s="3" t="inlineStr">
        <is>
          <t>Acquisition + charging infrastructure</t>
        </is>
      </c>
    </row>
    <row r="12">
      <c r="A12" s="3" t="inlineStr">
        <is>
          <t>Residual value at end of period</t>
        </is>
      </c>
      <c r="B12" s="3">
        <f>B9*Inputs!B19/100</f>
        <v/>
      </c>
      <c r="C12" s="3">
        <f>C9*Inputs!B19/100</f>
        <v/>
      </c>
      <c r="D12" s="3" t="inlineStr">
        <is>
          <t>Residual % × acquisition</t>
        </is>
      </c>
    </row>
    <row r="13">
      <c r="A13" s="3" t="inlineStr">
        <is>
          <t>5-year operating cost</t>
        </is>
      </c>
      <c r="B13" s="3">
        <f>B8*Inputs!B4</f>
        <v/>
      </c>
      <c r="C13" s="3">
        <f>C8*Inputs!B4</f>
        <v/>
      </c>
      <c r="D13" s="3" t="inlineStr">
        <is>
          <t>Annual operating cost × years</t>
        </is>
      </c>
    </row>
    <row r="14">
      <c r="A14" s="3" t="inlineStr">
        <is>
          <t>5-year TCO before residual</t>
        </is>
      </c>
      <c r="B14" s="7">
        <f>B11+B13</f>
        <v/>
      </c>
      <c r="C14" s="7">
        <f>C11+C13</f>
        <v/>
      </c>
      <c r="D14" s="3" t="inlineStr">
        <is>
          <t>Initial investment + operating cost</t>
        </is>
      </c>
    </row>
    <row r="15">
      <c r="A15" s="3" t="inlineStr">
        <is>
          <t>5-year net TCO after residual</t>
        </is>
      </c>
      <c r="B15" s="7">
        <f>B14-B12</f>
        <v/>
      </c>
      <c r="C15" s="7">
        <f>C14-C12</f>
        <v/>
      </c>
      <c r="D15" s="3" t="inlineStr">
        <is>
          <t>TCO less residual value</t>
        </is>
      </c>
    </row>
    <row r="16">
      <c r="A16" s="3" t="inlineStr">
        <is>
          <t>Annual operating savings vs diesel</t>
        </is>
      </c>
      <c r="B16" s="7">
        <f>0</f>
        <v/>
      </c>
      <c r="C16" s="7">
        <f>B8-C8</f>
        <v/>
      </c>
      <c r="D16" s="3" t="inlineStr">
        <is>
          <t>Diesel annual OPEX − EV annual OPEX</t>
        </is>
      </c>
    </row>
    <row r="17">
      <c r="A17" s="3" t="inlineStr">
        <is>
          <t>Simple payback (years)</t>
        </is>
      </c>
      <c r="B17" s="7">
        <f>NA()</f>
        <v/>
      </c>
      <c r="C17" s="7">
        <f>(C11-B11)/C16</f>
        <v/>
      </c>
      <c r="D17" s="3" t="inlineStr">
        <is>
          <t>Incremental initial investment ÷ annual operating savings</t>
        </is>
      </c>
    </row>
    <row r="18">
      <c r="A18" s="3" t="inlineStr">
        <is>
          <t>5-year ROI proxy</t>
        </is>
      </c>
      <c r="B18" s="7">
        <f>NA()</f>
        <v/>
      </c>
      <c r="C18" s="8">
        <f>((C16*Inputs!B4)-(C11-B11))/(C11-B11)</f>
        <v/>
      </c>
      <c r="D18" s="3" t="inlineStr">
        <is>
          <t>Cumulative operating savings less incremental investment, divided by incremental investment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4" customWidth="1" min="7" max="7"/>
    <col width="23" customWidth="1" min="8" max="8"/>
    <col width="24" customWidth="1" min="9" max="9"/>
    <col width="22" customWidth="1" min="10" max="10"/>
  </cols>
  <sheetData>
    <row r="1">
      <c r="A1" s="4" t="inlineStr">
        <is>
          <t>Fleet size</t>
        </is>
      </c>
      <c r="B1" s="4" t="inlineStr">
        <is>
          <t>Diesel initial investment</t>
        </is>
      </c>
      <c r="C1" s="4" t="inlineStr">
        <is>
          <t>EV initial investment</t>
        </is>
      </c>
      <c r="D1" s="4" t="inlineStr">
        <is>
          <t>Diesel annual OPEX</t>
        </is>
      </c>
      <c r="E1" s="4" t="inlineStr">
        <is>
          <t>EV annual OPEX</t>
        </is>
      </c>
      <c r="F1" s="4" t="inlineStr">
        <is>
          <t>Annual OPEX savings</t>
        </is>
      </c>
      <c r="G1" s="4" t="inlineStr">
        <is>
          <t>Incremental EV investment</t>
        </is>
      </c>
      <c r="H1" s="4" t="inlineStr">
        <is>
          <t>Simple payback (years)</t>
        </is>
      </c>
      <c r="I1" s="4" t="inlineStr">
        <is>
          <t>5-year net TCO diesel</t>
        </is>
      </c>
      <c r="J1" s="4" t="inlineStr">
        <is>
          <t>5-year net TCO EV</t>
        </is>
      </c>
    </row>
    <row r="2">
      <c r="A2" t="n">
        <v>10</v>
      </c>
      <c r="B2" s="9">
        <f>Unit Economics!B11*A2</f>
        <v/>
      </c>
      <c r="C2" s="9">
        <f>Unit Economics!C11*A2</f>
        <v/>
      </c>
      <c r="D2" s="9">
        <f>Unit Economics!B8*A2</f>
        <v/>
      </c>
      <c r="E2" s="9">
        <f>Unit Economics!C8*A2</f>
        <v/>
      </c>
      <c r="F2" s="9">
        <f>D2-E2</f>
        <v/>
      </c>
      <c r="G2" s="9">
        <f>C2-B2</f>
        <v/>
      </c>
      <c r="H2" s="10">
        <f>G2/F2</f>
        <v/>
      </c>
      <c r="I2" s="9">
        <f>Unit Economics!B15*A2</f>
        <v/>
      </c>
      <c r="J2" s="9">
        <f>Unit Economics!C15*A2</f>
        <v/>
      </c>
    </row>
    <row r="3">
      <c r="A3" t="n">
        <v>100</v>
      </c>
      <c r="B3" s="9">
        <f>Unit Economics!B11*A3</f>
        <v/>
      </c>
      <c r="C3" s="9">
        <f>Unit Economics!C11*A3</f>
        <v/>
      </c>
      <c r="D3" s="9">
        <f>Unit Economics!B8*A3</f>
        <v/>
      </c>
      <c r="E3" s="9">
        <f>Unit Economics!C8*A3</f>
        <v/>
      </c>
      <c r="F3" s="9">
        <f>D3-E3</f>
        <v/>
      </c>
      <c r="G3" s="9">
        <f>C3-B3</f>
        <v/>
      </c>
      <c r="H3" s="10">
        <f>G3/F3</f>
        <v/>
      </c>
      <c r="I3" s="9">
        <f>Unit Economics!B15*A3</f>
        <v/>
      </c>
      <c r="J3" s="9">
        <f>Unit Economics!C15*A3</f>
        <v/>
      </c>
    </row>
    <row r="4">
      <c r="A4" t="n">
        <v>1000</v>
      </c>
      <c r="B4" s="9">
        <f>Unit Economics!B11*A4</f>
        <v/>
      </c>
      <c r="C4" s="9">
        <f>Unit Economics!C11*A4</f>
        <v/>
      </c>
      <c r="D4" s="9">
        <f>Unit Economics!B8*A4</f>
        <v/>
      </c>
      <c r="E4" s="9">
        <f>Unit Economics!C8*A4</f>
        <v/>
      </c>
      <c r="F4" s="9">
        <f>D4-E4</f>
        <v/>
      </c>
      <c r="G4" s="9">
        <f>C4-B4</f>
        <v/>
      </c>
      <c r="H4" s="10">
        <f>G4/F4</f>
        <v/>
      </c>
      <c r="I4" s="9">
        <f>Unit Economics!B15*A4</f>
        <v/>
      </c>
      <c r="J4" s="9">
        <f>Unit Economics!C15*A4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28" customWidth="1" min="4" max="4"/>
    <col width="18" customWidth="1" min="5" max="5"/>
  </cols>
  <sheetData>
    <row r="1">
      <c r="A1" s="4" t="inlineStr">
        <is>
          <t>Electricity price (₹/kWh)</t>
        </is>
      </c>
      <c r="B1" s="4" t="inlineStr">
        <is>
          <t>EV energy cost/km</t>
        </is>
      </c>
      <c r="C1" s="4" t="inlineStr">
        <is>
          <t>EV total operating cost/km</t>
        </is>
      </c>
      <c r="D1" s="4" t="inlineStr">
        <is>
          <t>Annual OPEX savings/truck</t>
        </is>
      </c>
      <c r="E1" s="4" t="inlineStr">
        <is>
          <t>Payback years</t>
        </is>
      </c>
    </row>
    <row r="2">
      <c r="A2" s="11" t="n">
        <v>6</v>
      </c>
      <c r="B2" s="11">
        <f>A2*(Inputs!B8/Inputs!B9)*(1+Inputs!B10/100)</f>
        <v/>
      </c>
      <c r="C2" s="11">
        <f>B2+Inputs!B14+Inputs!B16</f>
        <v/>
      </c>
      <c r="D2" s="11">
        <f>Unit Economics!B8-C2*Inputs!B3</f>
        <v/>
      </c>
      <c r="E2" s="10">
        <f>(Unit Economics!C11-Unit Economics!B11)/D2</f>
        <v/>
      </c>
    </row>
    <row r="3">
      <c r="A3" s="11" t="n">
        <v>7</v>
      </c>
      <c r="B3" s="11">
        <f>A3*(Inputs!B8/Inputs!B9)*(1+Inputs!B10/100)</f>
        <v/>
      </c>
      <c r="C3" s="11">
        <f>B3+Inputs!B14+Inputs!B16</f>
        <v/>
      </c>
      <c r="D3" s="11">
        <f>Unit Economics!B8-C3*Inputs!B3</f>
        <v/>
      </c>
      <c r="E3" s="10">
        <f>(Unit Economics!C11-Unit Economics!B11)/D3</f>
        <v/>
      </c>
    </row>
    <row r="4">
      <c r="A4" s="11" t="n">
        <v>8</v>
      </c>
      <c r="B4" s="11">
        <f>A4*(Inputs!B8/Inputs!B9)*(1+Inputs!B10/100)</f>
        <v/>
      </c>
      <c r="C4" s="11">
        <f>B4+Inputs!B14+Inputs!B16</f>
        <v/>
      </c>
      <c r="D4" s="11">
        <f>Unit Economics!B8-C4*Inputs!B3</f>
        <v/>
      </c>
      <c r="E4" s="10">
        <f>(Unit Economics!C11-Unit Economics!B11)/D4</f>
        <v/>
      </c>
    </row>
    <row r="5">
      <c r="A5" s="11" t="n">
        <v>8.27</v>
      </c>
      <c r="B5" s="11">
        <f>A5*(Inputs!B8/Inputs!B9)*(1+Inputs!B10/100)</f>
        <v/>
      </c>
      <c r="C5" s="11">
        <f>B5+Inputs!B14+Inputs!B16</f>
        <v/>
      </c>
      <c r="D5" s="11">
        <f>Unit Economics!B8-C5*Inputs!B3</f>
        <v/>
      </c>
      <c r="E5" s="10">
        <f>(Unit Economics!C11-Unit Economics!B11)/D5</f>
        <v/>
      </c>
    </row>
    <row r="6">
      <c r="A6" s="11" t="n">
        <v>9</v>
      </c>
      <c r="B6" s="11">
        <f>A6*(Inputs!B8/Inputs!B9)*(1+Inputs!B10/100)</f>
        <v/>
      </c>
      <c r="C6" s="11">
        <f>B6+Inputs!B14+Inputs!B16</f>
        <v/>
      </c>
      <c r="D6" s="11">
        <f>Unit Economics!B8-C6*Inputs!B3</f>
        <v/>
      </c>
      <c r="E6" s="10">
        <f>(Unit Economics!C11-Unit Economics!B11)/D6</f>
        <v/>
      </c>
    </row>
    <row r="7">
      <c r="A7" s="11" t="n">
        <v>10</v>
      </c>
      <c r="B7" s="11">
        <f>A7*(Inputs!B8/Inputs!B9)*(1+Inputs!B10/100)</f>
        <v/>
      </c>
      <c r="C7" s="11">
        <f>B7+Inputs!B14+Inputs!B16</f>
        <v/>
      </c>
      <c r="D7" s="11">
        <f>Unit Economics!B8-C7*Inputs!B3</f>
        <v/>
      </c>
      <c r="E7" s="10">
        <f>(Unit Economics!C11-Unit Economics!B11)/D7</f>
        <v/>
      </c>
    </row>
    <row r="8">
      <c r="A8" s="11" t="n">
        <v>11</v>
      </c>
      <c r="B8" s="11">
        <f>A8*(Inputs!B8/Inputs!B9)*(1+Inputs!B10/100)</f>
        <v/>
      </c>
      <c r="C8" s="11">
        <f>B8+Inputs!B14+Inputs!B16</f>
        <v/>
      </c>
      <c r="D8" s="11">
        <f>Unit Economics!B8-C8*Inputs!B3</f>
        <v/>
      </c>
      <c r="E8" s="10">
        <f>(Unit Economics!C11-Unit Economics!B11)/D8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85" customWidth="1" min="2" max="2"/>
    <col width="95" customWidth="1" min="3" max="3"/>
  </cols>
  <sheetData>
    <row r="1">
      <c r="A1" s="6" t="inlineStr">
        <is>
          <t>Source</t>
        </is>
      </c>
      <c r="B1" s="6" t="inlineStr">
        <is>
          <t>What it supports</t>
        </is>
      </c>
      <c r="C1" s="6" t="inlineStr">
        <is>
          <t>URL</t>
        </is>
      </c>
    </row>
    <row r="2">
      <c r="A2" s="3" t="inlineStr">
        <is>
          <t>Tata Motors – Prima E.55S</t>
        </is>
      </c>
      <c r="B2" s="3" t="inlineStr">
        <is>
          <t>450 kWh battery option; up to 350 km range; 55,000 kg GVW; electric freight applications.</t>
        </is>
      </c>
      <c r="C2" s="3" t="inlineStr">
        <is>
          <t>https://trucks.tatamotors.com/product/tata-prima-e55s</t>
        </is>
      </c>
    </row>
    <row r="3">
      <c r="A3" s="3" t="inlineStr">
        <is>
          <t>Tata Motors – Prima E.55S press release (10 Apr 2026)</t>
        </is>
      </c>
      <c r="B3" s="3" t="inlineStr">
        <is>
          <t>First batch delivered to BillionE Mobility; 250 additional order; deployment on key freight corridors; 450 kWh and up to 350 km.</t>
        </is>
      </c>
      <c r="C3" s="3" t="inlineStr">
        <is>
          <t>https://trucks.tatamotors.com/news/tata-motors-delivers-first-batch-of-electric-prima-E.55S-to-Billion-e-mobility-advances-zero-emission-freight-transport</t>
        </is>
      </c>
    </row>
    <row r="4">
      <c r="A4" s="3" t="inlineStr">
        <is>
          <t>Tata Motors – Prima 5530.S</t>
        </is>
      </c>
      <c r="B4" s="3" t="inlineStr">
        <is>
          <t>55,000 kg GCW, diesel configuration and specifications.</t>
        </is>
      </c>
      <c r="C4" s="3" t="inlineStr">
        <is>
          <t>https://trucks.tatamotors.com/prima/tata-prima-5530</t>
        </is>
      </c>
    </row>
    <row r="5">
      <c r="A5" s="3" t="inlineStr">
        <is>
          <t>CSE – Zero Emission Trucks policy brief</t>
        </is>
      </c>
      <c r="B5" s="3" t="inlineStr">
        <is>
          <t>Comparative heavy-duty truck energy-consumption context; includes 55,000 kg tractor-trailer diesel benchmark of 1.9 km/L and 1.22 kWh/km BET equivalent.</t>
        </is>
      </c>
      <c r="C5" s="3" t="inlineStr">
        <is>
          <t>https://www.cseindia.org/content/downloadreports/12061</t>
        </is>
      </c>
    </row>
    <row r="6">
      <c r="A6" s="3" t="inlineStr">
        <is>
          <t>APERC – FY2026-27 tariff press note</t>
        </is>
      </c>
      <c r="B6" s="3" t="inlineStr">
        <is>
          <t>States no tariff increase for any consumer category in FY2026-27; actual charging tariff still depends on connection/category and applicable charges.</t>
        </is>
      </c>
      <c r="C6" s="3" t="inlineStr">
        <is>
          <t>https://www.aperc.gov.in/admin/upload/PressNoteRSTFY202627English.pdf</t>
        </is>
      </c>
    </row>
    <row r="7">
      <c r="A7" s="3" t="inlineStr">
        <is>
          <t>APERC – tariff/wheeling material</t>
        </is>
      </c>
      <c r="B7" s="3" t="inlineStr">
        <is>
          <t>Reference tariff/wheeling information; charging model should be validated for the actual connection and demand charges.</t>
        </is>
      </c>
      <c r="C7" s="3" t="inlineStr">
        <is>
          <t>https://aperc.gov.in/page/Tariff_Orders</t>
        </is>
      </c>
    </row>
    <row r="8">
      <c r="A8" s="3" t="inlineStr">
        <is>
          <t>IndianOil – Petrol/Diesel price page</t>
        </is>
      </c>
      <c r="B8" s="3" t="inlineStr">
        <is>
          <t>Official source for checking current retail fuel prices; price can vary by outlet.</t>
        </is>
      </c>
      <c r="C8" s="3" t="inlineStr">
        <is>
          <t>https://iocl.com/petrol-diesel-price</t>
        </is>
      </c>
    </row>
    <row r="9">
      <c r="A9" s="3" t="inlineStr">
        <is>
          <t>Vijayawada diesel price reference</t>
        </is>
      </c>
      <c r="B9" s="3" t="inlineStr">
        <is>
          <t>₹105.61/L on 3 Oct 2026 as reported by Upstox; use as a dated market reference, not a fixed price.</t>
        </is>
      </c>
      <c r="C9" s="3" t="inlineStr">
        <is>
          <t>https://upstox.com/diesel-price/diesel-price-in-vijayawada/</t>
        </is>
      </c>
    </row>
    <row r="10">
      <c r="A10" s="3" t="inlineStr">
        <is>
          <t>Tata Prima 5530.S market listing</t>
        </is>
      </c>
      <c r="B10" s="3" t="inlineStr">
        <is>
          <t>Indicative ex-showroom price around ₹40.49 lakh; third-party market listing, so validate with dealer/OEM.</t>
        </is>
      </c>
      <c r="C10" s="3" t="inlineStr">
        <is>
          <t>https://www.cmv360.com/trucks/tata/prima-5530s-bs6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2026-10-04T12:31:47Z</dcterms:created>
  <dcterms:modified xmlns:dcterms="http://purl.org/dc/terms/" xmlns:xsi="http://www.w3.org/2001/XMLSchema-instance" xsi:type="dcterms:W3CDTF">2026-10-04T12:31:47Z</dcterms:modified>
</cp:coreProperties>
</file>